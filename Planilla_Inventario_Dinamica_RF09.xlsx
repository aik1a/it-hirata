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wle\Documents\HirataDash\"/>
    </mc:Choice>
  </mc:AlternateContent>
  <xr:revisionPtr revIDLastSave="0" documentId="8_{D2D073CD-6B96-498F-AB06-7FF6767518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 Resumen" sheetId="1" r:id="rId1"/>
    <sheet name="Inventario_General" sheetId="2" r:id="rId2"/>
  </sheets>
  <definedNames>
    <definedName name="_xlnm._FilterDatabase" localSheetId="1" hidden="1">Inventario_General!$B$4:$O$18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H6" i="1"/>
  <c r="F6" i="1"/>
  <c r="D6" i="1"/>
  <c r="B6" i="1"/>
</calcChain>
</file>

<file path=xl/sharedStrings.xml><?xml version="1.0" encoding="utf-8"?>
<sst xmlns="http://schemas.openxmlformats.org/spreadsheetml/2006/main" count="198" uniqueCount="131">
  <si>
    <t>DASHBOARD CONTROL DE INVENTARIO TI (RF-09)</t>
  </si>
  <si>
    <t>Indicadores Dinámicos - Actualizado al 17/05/2026</t>
  </si>
  <si>
    <t>Total Equipos Registrados</t>
  </si>
  <si>
    <t>Total Componentes en Stock</t>
  </si>
  <si>
    <t>Total Periféricos y Accesorios</t>
  </si>
  <si>
    <t>Alertas de Stock Crítico</t>
  </si>
  <si>
    <t>Resumen de Alertas y Estados</t>
  </si>
  <si>
    <t>Estado del Activo</t>
  </si>
  <si>
    <t>Cantidad Actual</t>
  </si>
  <si>
    <t>Operacional</t>
  </si>
  <si>
    <t>En Uso</t>
  </si>
  <si>
    <t>En Stock</t>
  </si>
  <si>
    <t>Stock Crítico</t>
  </si>
  <si>
    <t>En Mantención</t>
  </si>
  <si>
    <t>Dado de Baja</t>
  </si>
  <si>
    <t>REGISTRO DE INVENTARIO DETALLADO</t>
  </si>
  <si>
    <t>ID Activo / Código</t>
  </si>
  <si>
    <t>Tipo Registro</t>
  </si>
  <si>
    <t>Categoría</t>
  </si>
  <si>
    <t>Marca</t>
  </si>
  <si>
    <t>Modelo / Especificación</t>
  </si>
  <si>
    <t>Número de Serie (S/N)</t>
  </si>
  <si>
    <t>MAC Address / P/N</t>
  </si>
  <si>
    <t>Capacidad / Frecuencia</t>
  </si>
  <si>
    <t>Factor Forma / Conector</t>
  </si>
  <si>
    <t>Equipo Asociado</t>
  </si>
  <si>
    <t>Stock Actual</t>
  </si>
  <si>
    <t>Stock Mínimo</t>
  </si>
  <si>
    <t>Estado</t>
  </si>
  <si>
    <t>Ubicación</t>
  </si>
  <si>
    <t>PC-MP-001</t>
  </si>
  <si>
    <t>Equipo</t>
  </si>
  <si>
    <t>Torre Escritorio</t>
  </si>
  <si>
    <t>HP</t>
  </si>
  <si>
    <t>ProDesk 600 G6</t>
  </si>
  <si>
    <t>MXL1234567</t>
  </si>
  <si>
    <t>00:1A:2B:3C:4D:5E</t>
  </si>
  <si>
    <t>N/A</t>
  </si>
  <si>
    <t>SFF</t>
  </si>
  <si>
    <t>Oficina Central</t>
  </si>
  <si>
    <t>NTB-MP-001</t>
  </si>
  <si>
    <t>Notebook</t>
  </si>
  <si>
    <t>Lenovo</t>
  </si>
  <si>
    <t>ThinkPad L14</t>
  </si>
  <si>
    <t>PF2A3B4C</t>
  </si>
  <si>
    <t>00:1A:2B:3C:4D:5F</t>
  </si>
  <si>
    <t>14 pulgadas</t>
  </si>
  <si>
    <t>Terreno (Ventas)</t>
  </si>
  <si>
    <t>MON-MP-001</t>
  </si>
  <si>
    <t>Periférico</t>
  </si>
  <si>
    <t>Monitor</t>
  </si>
  <si>
    <t>Dell</t>
  </si>
  <si>
    <t>P2419H</t>
  </si>
  <si>
    <t>CN-0X1Y2Z-1234</t>
  </si>
  <si>
    <t>24 Pulgadas</t>
  </si>
  <si>
    <t>HDMI/DP</t>
  </si>
  <si>
    <t>ALM-MP-001</t>
  </si>
  <si>
    <t>Componente</t>
  </si>
  <si>
    <t>Disco SSD</t>
  </si>
  <si>
    <t>Kingston</t>
  </si>
  <si>
    <t>NV2 NVMe</t>
  </si>
  <si>
    <t>50026B72821A</t>
  </si>
  <si>
    <t>1 TB</t>
  </si>
  <si>
    <t>M.2 NVMe</t>
  </si>
  <si>
    <t>Instalado</t>
  </si>
  <si>
    <t>ALM-MP-002</t>
  </si>
  <si>
    <t>Crucial</t>
  </si>
  <si>
    <t>BX500</t>
  </si>
  <si>
    <t>CT500BX500SSD1</t>
  </si>
  <si>
    <t>500 GB</t>
  </si>
  <si>
    <t>SATA 2.5"</t>
  </si>
  <si>
    <t>ALM-MP-003</t>
  </si>
  <si>
    <t>Disco HDD Mecánico</t>
  </si>
  <si>
    <t>Western Digital</t>
  </si>
  <si>
    <t>Blue</t>
  </si>
  <si>
    <t>WCC6Y1234567</t>
  </si>
  <si>
    <t>2 TB</t>
  </si>
  <si>
    <t>SATA 3.5"</t>
  </si>
  <si>
    <t>RAM-MP-001</t>
  </si>
  <si>
    <t>Memoria RAM</t>
  </si>
  <si>
    <t>Corsair</t>
  </si>
  <si>
    <t>Vengeance LPX</t>
  </si>
  <si>
    <t>CR987654321</t>
  </si>
  <si>
    <t>16 GB - 3200MHz</t>
  </si>
  <si>
    <t>DIMM DDR4</t>
  </si>
  <si>
    <t>Bodega TI - Estante C</t>
  </si>
  <si>
    <t>RAM-MP-002</t>
  </si>
  <si>
    <t>Samsung</t>
  </si>
  <si>
    <t>M471A1K43CB1</t>
  </si>
  <si>
    <t>SAM11223344</t>
  </si>
  <si>
    <t>8 GB - 2666MHz</t>
  </si>
  <si>
    <t>SO-DIMM DDR4</t>
  </si>
  <si>
    <t>PWR-MP-001</t>
  </si>
  <si>
    <t>Fuente de Poder</t>
  </si>
  <si>
    <t>EVGA</t>
  </si>
  <si>
    <t>600W 80+</t>
  </si>
  <si>
    <t>EVG123987</t>
  </si>
  <si>
    <t>600W</t>
  </si>
  <si>
    <t>ATX</t>
  </si>
  <si>
    <t>CAR-MP-001</t>
  </si>
  <si>
    <t>Accesorio</t>
  </si>
  <si>
    <t>Cargador Notebook</t>
  </si>
  <si>
    <t>65W USB-C</t>
  </si>
  <si>
    <t>8SS50M55</t>
  </si>
  <si>
    <t>P/N: ADLX65YLC3A</t>
  </si>
  <si>
    <t>65W</t>
  </si>
  <si>
    <t>USB Type-C</t>
  </si>
  <si>
    <t>BAT-MP-001</t>
  </si>
  <si>
    <t>Batería Notebook</t>
  </si>
  <si>
    <t>L19M3P71</t>
  </si>
  <si>
    <t>BAT987654321</t>
  </si>
  <si>
    <t>P/N: 5B10W13930</t>
  </si>
  <si>
    <t>50Wh</t>
  </si>
  <si>
    <t>Interna Lithium</t>
  </si>
  <si>
    <t>CPU-MP-001</t>
  </si>
  <si>
    <t>Procesador</t>
  </si>
  <si>
    <t>Intel</t>
  </si>
  <si>
    <t>Core i5-10400</t>
  </si>
  <si>
    <t>INT345678</t>
  </si>
  <si>
    <t>2.9 GHz</t>
  </si>
  <si>
    <t>LGA 1200</t>
  </si>
  <si>
    <t>MB-MP-001</t>
  </si>
  <si>
    <t>Placa Madre</t>
  </si>
  <si>
    <t>ASUS</t>
  </si>
  <si>
    <t>Prime H410M-E</t>
  </si>
  <si>
    <t>ASU765432</t>
  </si>
  <si>
    <t>Micro-ATX</t>
  </si>
  <si>
    <t>ALM-MP-004</t>
  </si>
  <si>
    <t>870 EVO</t>
  </si>
  <si>
    <t>SAMSUNG998877</t>
  </si>
  <si>
    <t>Bodega TI - Estante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</si>
</sst>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203764"/>
      <name val="Calibri"/>
    </font>
    <font>
      <i/>
      <sz val="11"/>
      <color rgb="FF595959"/>
      <name val="Calibri"/>
    </font>
    <font>
      <b/>
      <sz val="10"/>
      <color rgb="FF333333"/>
      <name val="Calibri"/>
    </font>
    <font>
      <b/>
      <sz val="18"/>
      <color rgb="FF203764"/>
      <name val="Calibri"/>
    </font>
    <font>
      <b/>
      <sz val="12"/>
      <color rgb="FF2037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03764"/>
        <bgColor rgb="FF203764"/>
      </patternFill>
    </fill>
    <fill>
      <patternFill patternType="solid">
        <fgColor rgb="FFF9FBFD"/>
        <bgColor rgb="FFF9FBF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"/>
  <sheetViews>
    <sheetView tabSelected="1" workbookViewId="0"/>
  </sheetViews>
  <sheetFormatPr baseColWidth="10" defaultColWidth="8.88671875" defaultRowHeight="14.4" x14ac:dyDescent="0.3"/>
  <cols>
    <col min="2" max="2" width="28" customWidth="1"/>
    <col min="3" max="3" width="16" customWidth="1"/>
    <col min="4" max="4" width="28" customWidth="1"/>
    <col min="5" max="5" width="16" customWidth="1"/>
    <col min="6" max="6" width="28" customWidth="1"/>
    <col min="7" max="7" width="16" customWidth="1"/>
    <col min="8" max="8" width="28" customWidth="1"/>
    <col min="9" max="9" width="16" customWidth="1"/>
  </cols>
  <sheetData>
    <row r="2" spans="2:8" ht="21" x14ac:dyDescent="0.4">
      <c r="B2" s="1" t="s">
        <v>0</v>
      </c>
    </row>
    <row r="3" spans="2:8" x14ac:dyDescent="0.3">
      <c r="B3" s="2" t="s">
        <v>1</v>
      </c>
    </row>
    <row r="5" spans="2:8" ht="20.100000000000001" customHeight="1" x14ac:dyDescent="0.3">
      <c r="B5" s="3" t="s">
        <v>2</v>
      </c>
      <c r="D5" s="3" t="s">
        <v>3</v>
      </c>
      <c r="F5" s="3" t="s">
        <v>4</v>
      </c>
      <c r="H5" s="3" t="s">
        <v>5</v>
      </c>
    </row>
    <row r="6" spans="2:8" ht="30" customHeight="1" x14ac:dyDescent="0.3">
      <c r="B6" s="4">
        <f>COUNTIF(Inventario_General!C$5:C$100, "Equipo")</f>
        <v>2</v>
      </c>
      <c r="D6" s="4">
        <f>COUNTIF(Inventario_General!C$5:C$100, "Componente")</f>
        <v>10</v>
      </c>
      <c r="F6" s="4">
        <f>COUNTIF(Inventario_General!C$5:C$100, "Periférico") + COUNTIF(Inventario_General!C$5:C$100, "Accesorio")</f>
        <v>2</v>
      </c>
      <c r="H6" s="4">
        <f>COUNTIF(Inventario_General!N$5:N$100, "Stock Crítico")</f>
        <v>1</v>
      </c>
    </row>
    <row r="9" spans="2:8" ht="15.6" x14ac:dyDescent="0.3">
      <c r="B9" s="5" t="s">
        <v>6</v>
      </c>
    </row>
    <row r="10" spans="2:8" x14ac:dyDescent="0.3">
      <c r="B10" s="6" t="s">
        <v>7</v>
      </c>
      <c r="C10" s="6" t="s">
        <v>8</v>
      </c>
    </row>
    <row r="11" spans="2:8" x14ac:dyDescent="0.3">
      <c r="B11" s="7" t="s">
        <v>9</v>
      </c>
      <c r="C11" s="8">
        <f>COUNTIF(Inventario_General!N$5:N$100, "Operacional")</f>
        <v>2</v>
      </c>
    </row>
    <row r="12" spans="2:8" x14ac:dyDescent="0.3">
      <c r="B12" s="7" t="s">
        <v>10</v>
      </c>
      <c r="C12" s="8">
        <f>COUNTIF(Inventario_General!N$5:N$100, "En Uso")</f>
        <v>10</v>
      </c>
    </row>
    <row r="13" spans="2:8" x14ac:dyDescent="0.3">
      <c r="B13" s="7" t="s">
        <v>11</v>
      </c>
      <c r="C13" s="8">
        <f>COUNTIF(Inventario_General!N$5:N$100, "En Stock")</f>
        <v>1</v>
      </c>
    </row>
    <row r="14" spans="2:8" x14ac:dyDescent="0.3">
      <c r="B14" s="7" t="s">
        <v>12</v>
      </c>
      <c r="C14" s="8">
        <f>COUNTIF(Inventario_General!N$5:N$100, "Stock Crítico")</f>
        <v>1</v>
      </c>
    </row>
    <row r="15" spans="2:8" x14ac:dyDescent="0.3">
      <c r="B15" s="7" t="s">
        <v>13</v>
      </c>
      <c r="C15" s="8">
        <f>COUNTIF(Inventario_General!N$5:N$100, "En Mantención")</f>
        <v>0</v>
      </c>
    </row>
    <row r="16" spans="2:8" x14ac:dyDescent="0.3">
      <c r="B16" s="7" t="s">
        <v>14</v>
      </c>
      <c r="C16" s="8">
        <f>COUNTIF(Inventario_General!N$5:N$100, "Dado de Baja")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8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3" width="16" customWidth="1"/>
    <col min="4" max="4" width="18" customWidth="1"/>
    <col min="5" max="5" width="15" customWidth="1"/>
    <col min="6" max="8" width="22" customWidth="1"/>
    <col min="9" max="10" width="18" customWidth="1"/>
    <col min="11" max="11" width="16" customWidth="1"/>
    <col min="12" max="13" width="12" customWidth="1"/>
    <col min="14" max="14" width="15" customWidth="1"/>
    <col min="15" max="15" width="22" customWidth="1"/>
  </cols>
  <sheetData>
    <row r="2" spans="2:15" ht="21" x14ac:dyDescent="0.4">
      <c r="B2" s="1" t="s">
        <v>15</v>
      </c>
    </row>
    <row r="4" spans="2:15" ht="28.8" x14ac:dyDescent="0.3"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26</v>
      </c>
      <c r="M4" s="9" t="s">
        <v>27</v>
      </c>
      <c r="N4" s="9" t="s">
        <v>28</v>
      </c>
      <c r="O4" s="9" t="s">
        <v>29</v>
      </c>
    </row>
    <row r="5" spans="2:15" x14ac:dyDescent="0.3">
      <c r="B5" s="10" t="s">
        <v>30</v>
      </c>
      <c r="C5" s="10" t="s">
        <v>31</v>
      </c>
      <c r="D5" s="10" t="s">
        <v>32</v>
      </c>
      <c r="E5" s="11" t="s">
        <v>33</v>
      </c>
      <c r="F5" s="11" t="s">
        <v>34</v>
      </c>
      <c r="G5" s="10" t="s">
        <v>35</v>
      </c>
      <c r="H5" s="11" t="s">
        <v>36</v>
      </c>
      <c r="I5" s="11" t="s">
        <v>37</v>
      </c>
      <c r="J5" s="11" t="s">
        <v>38</v>
      </c>
      <c r="K5" s="10" t="s">
        <v>37</v>
      </c>
      <c r="L5" s="10">
        <v>1</v>
      </c>
      <c r="M5" s="10">
        <v>0</v>
      </c>
      <c r="N5" s="10" t="s">
        <v>9</v>
      </c>
      <c r="O5" s="11" t="s">
        <v>39</v>
      </c>
    </row>
    <row r="6" spans="2:15" x14ac:dyDescent="0.3">
      <c r="B6" s="12" t="s">
        <v>40</v>
      </c>
      <c r="C6" s="12" t="s">
        <v>31</v>
      </c>
      <c r="D6" s="12" t="s">
        <v>41</v>
      </c>
      <c r="E6" s="13" t="s">
        <v>42</v>
      </c>
      <c r="F6" s="13" t="s">
        <v>43</v>
      </c>
      <c r="G6" s="12" t="s">
        <v>44</v>
      </c>
      <c r="H6" s="13" t="s">
        <v>45</v>
      </c>
      <c r="I6" s="13" t="s">
        <v>37</v>
      </c>
      <c r="J6" s="13" t="s">
        <v>46</v>
      </c>
      <c r="K6" s="12" t="s">
        <v>37</v>
      </c>
      <c r="L6" s="12">
        <v>1</v>
      </c>
      <c r="M6" s="12">
        <v>0</v>
      </c>
      <c r="N6" s="12" t="s">
        <v>9</v>
      </c>
      <c r="O6" s="13" t="s">
        <v>47</v>
      </c>
    </row>
    <row r="7" spans="2:15" x14ac:dyDescent="0.3">
      <c r="B7" s="10" t="s">
        <v>48</v>
      </c>
      <c r="C7" s="10" t="s">
        <v>49</v>
      </c>
      <c r="D7" s="10" t="s">
        <v>50</v>
      </c>
      <c r="E7" s="11" t="s">
        <v>51</v>
      </c>
      <c r="F7" s="11" t="s">
        <v>52</v>
      </c>
      <c r="G7" s="10" t="s">
        <v>53</v>
      </c>
      <c r="H7" s="11" t="s">
        <v>37</v>
      </c>
      <c r="I7" s="11" t="s">
        <v>54</v>
      </c>
      <c r="J7" s="11" t="s">
        <v>55</v>
      </c>
      <c r="K7" s="10" t="s">
        <v>30</v>
      </c>
      <c r="L7" s="10">
        <v>1</v>
      </c>
      <c r="M7" s="10">
        <v>0</v>
      </c>
      <c r="N7" s="10" t="s">
        <v>10</v>
      </c>
      <c r="O7" s="11" t="s">
        <v>39</v>
      </c>
    </row>
    <row r="8" spans="2:15" x14ac:dyDescent="0.3">
      <c r="B8" s="12" t="s">
        <v>56</v>
      </c>
      <c r="C8" s="12" t="s">
        <v>57</v>
      </c>
      <c r="D8" s="12" t="s">
        <v>58</v>
      </c>
      <c r="E8" s="13" t="s">
        <v>59</v>
      </c>
      <c r="F8" s="13" t="s">
        <v>60</v>
      </c>
      <c r="G8" s="12" t="s">
        <v>61</v>
      </c>
      <c r="H8" s="13" t="s">
        <v>37</v>
      </c>
      <c r="I8" s="13" t="s">
        <v>62</v>
      </c>
      <c r="J8" s="13" t="s">
        <v>63</v>
      </c>
      <c r="K8" s="12" t="s">
        <v>30</v>
      </c>
      <c r="L8" s="12">
        <v>1</v>
      </c>
      <c r="M8" s="12">
        <v>0</v>
      </c>
      <c r="N8" s="12" t="s">
        <v>10</v>
      </c>
      <c r="O8" s="13" t="s">
        <v>64</v>
      </c>
    </row>
    <row r="9" spans="2:15" x14ac:dyDescent="0.3">
      <c r="B9" s="10" t="s">
        <v>65</v>
      </c>
      <c r="C9" s="10" t="s">
        <v>57</v>
      </c>
      <c r="D9" s="10" t="s">
        <v>58</v>
      </c>
      <c r="E9" s="11" t="s">
        <v>66</v>
      </c>
      <c r="F9" s="11" t="s">
        <v>67</v>
      </c>
      <c r="G9" s="10" t="s">
        <v>68</v>
      </c>
      <c r="H9" s="11" t="s">
        <v>37</v>
      </c>
      <c r="I9" s="11" t="s">
        <v>69</v>
      </c>
      <c r="J9" s="11" t="s">
        <v>70</v>
      </c>
      <c r="K9" s="10" t="s">
        <v>40</v>
      </c>
      <c r="L9" s="10">
        <v>1</v>
      </c>
      <c r="M9" s="10">
        <v>0</v>
      </c>
      <c r="N9" s="10" t="s">
        <v>10</v>
      </c>
      <c r="O9" s="11" t="s">
        <v>64</v>
      </c>
    </row>
    <row r="10" spans="2:15" x14ac:dyDescent="0.3">
      <c r="B10" s="12" t="s">
        <v>71</v>
      </c>
      <c r="C10" s="12" t="s">
        <v>57</v>
      </c>
      <c r="D10" s="12" t="s">
        <v>72</v>
      </c>
      <c r="E10" s="13" t="s">
        <v>73</v>
      </c>
      <c r="F10" s="13" t="s">
        <v>74</v>
      </c>
      <c r="G10" s="12" t="s">
        <v>75</v>
      </c>
      <c r="H10" s="13" t="s">
        <v>37</v>
      </c>
      <c r="I10" s="13" t="s">
        <v>76</v>
      </c>
      <c r="J10" s="13" t="s">
        <v>77</v>
      </c>
      <c r="K10" s="12" t="s">
        <v>30</v>
      </c>
      <c r="L10" s="12">
        <v>1</v>
      </c>
      <c r="M10" s="12">
        <v>0</v>
      </c>
      <c r="N10" s="12" t="s">
        <v>10</v>
      </c>
      <c r="O10" s="13" t="s">
        <v>64</v>
      </c>
    </row>
    <row r="11" spans="2:15" x14ac:dyDescent="0.3">
      <c r="B11" s="10" t="s">
        <v>78</v>
      </c>
      <c r="C11" s="10" t="s">
        <v>57</v>
      </c>
      <c r="D11" s="10" t="s">
        <v>79</v>
      </c>
      <c r="E11" s="11" t="s">
        <v>80</v>
      </c>
      <c r="F11" s="11" t="s">
        <v>81</v>
      </c>
      <c r="G11" s="10" t="s">
        <v>82</v>
      </c>
      <c r="H11" s="11" t="s">
        <v>37</v>
      </c>
      <c r="I11" s="11" t="s">
        <v>83</v>
      </c>
      <c r="J11" s="11" t="s">
        <v>84</v>
      </c>
      <c r="K11" s="10" t="s">
        <v>37</v>
      </c>
      <c r="L11" s="10">
        <v>5</v>
      </c>
      <c r="M11" s="10">
        <v>2</v>
      </c>
      <c r="N11" s="10" t="s">
        <v>11</v>
      </c>
      <c r="O11" s="11" t="s">
        <v>85</v>
      </c>
    </row>
    <row r="12" spans="2:15" x14ac:dyDescent="0.3">
      <c r="B12" s="12" t="s">
        <v>86</v>
      </c>
      <c r="C12" s="12" t="s">
        <v>57</v>
      </c>
      <c r="D12" s="12" t="s">
        <v>79</v>
      </c>
      <c r="E12" s="13" t="s">
        <v>87</v>
      </c>
      <c r="F12" s="13" t="s">
        <v>88</v>
      </c>
      <c r="G12" s="12" t="s">
        <v>89</v>
      </c>
      <c r="H12" s="13" t="s">
        <v>37</v>
      </c>
      <c r="I12" s="13" t="s">
        <v>90</v>
      </c>
      <c r="J12" s="13" t="s">
        <v>91</v>
      </c>
      <c r="K12" s="12" t="s">
        <v>40</v>
      </c>
      <c r="L12" s="12">
        <v>1</v>
      </c>
      <c r="M12" s="12">
        <v>0</v>
      </c>
      <c r="N12" s="12" t="s">
        <v>10</v>
      </c>
      <c r="O12" s="13" t="s">
        <v>64</v>
      </c>
    </row>
    <row r="13" spans="2:15" x14ac:dyDescent="0.3">
      <c r="B13" s="10" t="s">
        <v>92</v>
      </c>
      <c r="C13" s="10" t="s">
        <v>57</v>
      </c>
      <c r="D13" s="10" t="s">
        <v>93</v>
      </c>
      <c r="E13" s="11" t="s">
        <v>94</v>
      </c>
      <c r="F13" s="11" t="s">
        <v>95</v>
      </c>
      <c r="G13" s="10" t="s">
        <v>96</v>
      </c>
      <c r="H13" s="11" t="s">
        <v>37</v>
      </c>
      <c r="I13" s="11" t="s">
        <v>97</v>
      </c>
      <c r="J13" s="11" t="s">
        <v>98</v>
      </c>
      <c r="K13" s="10" t="s">
        <v>30</v>
      </c>
      <c r="L13" s="10">
        <v>1</v>
      </c>
      <c r="M13" s="10">
        <v>0</v>
      </c>
      <c r="N13" s="10" t="s">
        <v>10</v>
      </c>
      <c r="O13" s="11" t="s">
        <v>64</v>
      </c>
    </row>
    <row r="14" spans="2:15" x14ac:dyDescent="0.3">
      <c r="B14" s="12" t="s">
        <v>99</v>
      </c>
      <c r="C14" s="12" t="s">
        <v>100</v>
      </c>
      <c r="D14" s="12" t="s">
        <v>101</v>
      </c>
      <c r="E14" s="13" t="s">
        <v>42</v>
      </c>
      <c r="F14" s="13" t="s">
        <v>102</v>
      </c>
      <c r="G14" s="12" t="s">
        <v>103</v>
      </c>
      <c r="H14" s="13" t="s">
        <v>104</v>
      </c>
      <c r="I14" s="13" t="s">
        <v>105</v>
      </c>
      <c r="J14" s="13" t="s">
        <v>106</v>
      </c>
      <c r="K14" s="12" t="s">
        <v>40</v>
      </c>
      <c r="L14" s="12">
        <v>1</v>
      </c>
      <c r="M14" s="12">
        <v>0</v>
      </c>
      <c r="N14" s="12" t="s">
        <v>10</v>
      </c>
      <c r="O14" s="13" t="s">
        <v>47</v>
      </c>
    </row>
    <row r="15" spans="2:15" x14ac:dyDescent="0.3">
      <c r="B15" s="10" t="s">
        <v>107</v>
      </c>
      <c r="C15" s="10" t="s">
        <v>57</v>
      </c>
      <c r="D15" s="10" t="s">
        <v>108</v>
      </c>
      <c r="E15" s="11" t="s">
        <v>42</v>
      </c>
      <c r="F15" s="11" t="s">
        <v>109</v>
      </c>
      <c r="G15" s="10" t="s">
        <v>110</v>
      </c>
      <c r="H15" s="11" t="s">
        <v>111</v>
      </c>
      <c r="I15" s="11" t="s">
        <v>112</v>
      </c>
      <c r="J15" s="11" t="s">
        <v>113</v>
      </c>
      <c r="K15" s="10" t="s">
        <v>40</v>
      </c>
      <c r="L15" s="10">
        <v>1</v>
      </c>
      <c r="M15" s="10">
        <v>0</v>
      </c>
      <c r="N15" s="10" t="s">
        <v>10</v>
      </c>
      <c r="O15" s="11" t="s">
        <v>64</v>
      </c>
    </row>
    <row r="16" spans="2:15" x14ac:dyDescent="0.3">
      <c r="B16" s="12" t="s">
        <v>114</v>
      </c>
      <c r="C16" s="12" t="s">
        <v>57</v>
      </c>
      <c r="D16" s="12" t="s">
        <v>115</v>
      </c>
      <c r="E16" s="13" t="s">
        <v>116</v>
      </c>
      <c r="F16" s="13" t="s">
        <v>117</v>
      </c>
      <c r="G16" s="12" t="s">
        <v>118</v>
      </c>
      <c r="H16" s="13" t="s">
        <v>37</v>
      </c>
      <c r="I16" s="13" t="s">
        <v>119</v>
      </c>
      <c r="J16" s="13" t="s">
        <v>120</v>
      </c>
      <c r="K16" s="12" t="s">
        <v>30</v>
      </c>
      <c r="L16" s="12">
        <v>1</v>
      </c>
      <c r="M16" s="12">
        <v>0</v>
      </c>
      <c r="N16" s="12" t="s">
        <v>10</v>
      </c>
      <c r="O16" s="13" t="s">
        <v>64</v>
      </c>
    </row>
    <row r="17" spans="2:15" x14ac:dyDescent="0.3">
      <c r="B17" s="10" t="s">
        <v>121</v>
      </c>
      <c r="C17" s="10" t="s">
        <v>57</v>
      </c>
      <c r="D17" s="10" t="s">
        <v>122</v>
      </c>
      <c r="E17" s="11" t="s">
        <v>123</v>
      </c>
      <c r="F17" s="11" t="s">
        <v>124</v>
      </c>
      <c r="G17" s="10" t="s">
        <v>125</v>
      </c>
      <c r="H17" s="11" t="s">
        <v>37</v>
      </c>
      <c r="I17" s="11" t="s">
        <v>37</v>
      </c>
      <c r="J17" s="11" t="s">
        <v>126</v>
      </c>
      <c r="K17" s="10" t="s">
        <v>30</v>
      </c>
      <c r="L17" s="10">
        <v>1</v>
      </c>
      <c r="M17" s="10">
        <v>0</v>
      </c>
      <c r="N17" s="10" t="s">
        <v>10</v>
      </c>
      <c r="O17" s="11" t="s">
        <v>64</v>
      </c>
    </row>
    <row r="18" spans="2:15" x14ac:dyDescent="0.3">
      <c r="B18" s="12" t="s">
        <v>127</v>
      </c>
      <c r="C18" s="12" t="s">
        <v>57</v>
      </c>
      <c r="D18" s="12" t="s">
        <v>58</v>
      </c>
      <c r="E18" s="13" t="s">
        <v>87</v>
      </c>
      <c r="F18" s="13" t="s">
        <v>128</v>
      </c>
      <c r="G18" s="12" t="s">
        <v>129</v>
      </c>
      <c r="H18" s="13" t="s">
        <v>37</v>
      </c>
      <c r="I18" s="13" t="s">
        <v>62</v>
      </c>
      <c r="J18" s="13" t="s">
        <v>70</v>
      </c>
      <c r="K18" s="12" t="s">
        <v>37</v>
      </c>
      <c r="L18" s="12">
        <v>1</v>
      </c>
      <c r="M18" s="12">
        <v>3</v>
      </c>
      <c r="N18" s="12" t="s">
        <v>12</v>
      </c>
      <c r="O18" s="13" t="s">
        <v>130</v>
      </c>
    </row>
  </sheetData>
  <autoFilter ref="B4:O18" xr:uid="{00000000-0009-0000-0000-000001000000}"/>
  <conditionalFormatting sqref="N5:N100">
    <cfRule type="cellIs" dxfId="4" priority="1" stopIfTrue="1" operator="equal">
      <formula>"Operacional"</formula>
    </cfRule>
    <cfRule type="cellIs" dxfId="3" priority="2" stopIfTrue="1" operator="equal">
      <formula>"En Uso"</formula>
    </cfRule>
    <cfRule type="cellIs" dxfId="2" priority="3" stopIfTrue="1" operator="equal">
      <formula>"En Stock"</formula>
    </cfRule>
    <cfRule type="cellIs" dxfId="1" priority="4" stopIfTrue="1" operator="equal">
      <formula>"Stock Crítico"</formula>
    </cfRule>
    <cfRule type="cellIs" dxfId="0" priority="5" stopIfTrue="1" operator="equal">
      <formula>"En Mantención"</formula>
    </cfRule>
  </conditionalFormatting>
  <dataValidations count="2">
    <dataValidation type="list" allowBlank="1" sqref="C5:C100" xr:uid="{00000000-0002-0000-0100-000000000000}">
      <formula1>"Equipo,Componente,Periférico,Accesorio"</formula1>
    </dataValidation>
    <dataValidation type="list" allowBlank="1" sqref="N5:N100" xr:uid="{00000000-0002-0000-0100-000001000000}">
      <formula1>"Operacional,En Uso,En Stock,Stock Crítico,En Mantención,Dado de Baja"</formula1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E42150430B0F4585333F03D6C9C0A5" ma:contentTypeVersion="10" ma:contentTypeDescription="Create a new document." ma:contentTypeScope="" ma:versionID="431830e78eff0e2961579227f0c8c7b1">
  <xsd:schema xmlns:xsd="http://www.w3.org/2001/XMLSchema" xmlns:xs="http://www.w3.org/2001/XMLSchema" xmlns:p="http://schemas.microsoft.com/office/2006/metadata/properties" xmlns:ns2="ee346eed-37f5-4dee-9940-0e1db57906cc" xmlns:ns3="c16344aa-9c12-484c-9752-6c8b9487bb38" targetNamespace="http://schemas.microsoft.com/office/2006/metadata/properties" ma:root="true" ma:fieldsID="8c4926a57695526994135b399d6a6727" ns2:_="" ns3:_="">
    <xsd:import namespace="ee346eed-37f5-4dee-9940-0e1db57906cc"/>
    <xsd:import namespace="c16344aa-9c12-484c-9752-6c8b9487bb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6eed-37f5-4dee-9940-0e1db57906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292b6f-38d8-410b-90f7-a8801c4c4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344aa-9c12-484c-9752-6c8b9487bb3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65b8d9-23a4-4427-9ec7-bb15c5f4c3ce}" ma:internalName="TaxCatchAll" ma:showField="CatchAllData" ma:web="c16344aa-9c12-484c-9752-6c8b9487bb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346eed-37f5-4dee-9940-0e1db57906cc">
      <Terms xmlns="http://schemas.microsoft.com/office/infopath/2007/PartnerControls"/>
    </lcf76f155ced4ddcb4097134ff3c332f>
    <TaxCatchAll xmlns="c16344aa-9c12-484c-9752-6c8b9487bb38" xsi:nil="true"/>
  </documentManagement>
</p:properties>
</file>

<file path=customXml/itemProps1.xml><?xml version="1.0" encoding="utf-8"?>
<ds:datastoreItem xmlns:ds="http://schemas.openxmlformats.org/officeDocument/2006/customXml" ds:itemID="{2D5B9D80-8F0B-410F-ADDC-984E8B1B68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730EEE-0032-4463-98AB-DD184120C1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346eed-37f5-4dee-9940-0e1db57906cc"/>
    <ds:schemaRef ds:uri="c16344aa-9c12-484c-9752-6c8b9487bb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0FBAAB-3EE8-491E-8B87-FE9639E26091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c16344aa-9c12-484c-9752-6c8b9487bb38"/>
    <ds:schemaRef ds:uri="ee346eed-37f5-4dee-9940-0e1db57906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Resumen</vt:lpstr>
      <vt:lpstr>Inventario_General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Aikia Riveros Cruz</cp:lastModifiedBy>
  <cp:revision/>
  <dcterms:created xsi:type="dcterms:W3CDTF">2026-05-17T20:47:13Z</dcterms:created>
  <dcterms:modified xsi:type="dcterms:W3CDTF">2026-05-21T05:54:33Z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0x01010072E42150430B0F4585333F03D6C9C0A5</vt:lpwstr>
  </property>
  <property fmtid="{D5CDD505-2E9C-101B-9397-08002B2CF9AE}" pid="3" name="MediaServiceImageTags">
    <vt:lpwstr/>
  </property>
</Properties>
</file>